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Rule Catalogue" sheetId="2" r:id="rId2"/>
    <sheet name="Worked Example" sheetId="3" r:id="rId3"/>
  </sheets>
  <calcPr calcId="0" fullCalcOnLoad="1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5"/>
      <color rgb="FFFFFFFF"/>
      <name val="Aptos Display"/>
    </font>
    <font>
      <b/>
      <sz val="10"/>
      <color rgb="FF0B4675"/>
      <name val="Aptos"/>
    </font>
  </fonts>
  <fills count="4">
    <fill>
      <patternFill patternType="none"/>
    </fill>
    <fill>
      <patternFill patternType="gray125"/>
    </fill>
    <fill>
      <patternFill patternType="solid">
        <fgColor rgb="FF087FC3"/>
        <bgColor indexed="64"/>
      </patternFill>
    </fill>
    <fill>
      <patternFill patternType="solid">
        <fgColor rgb="FFDDF2FF"/>
        <bgColor indexed="64"/>
      </patternFill>
    </fill>
  </fills>
  <borders count="1">
    <border>
      <left/>
      <right/>
      <top/>
      <bottom/>
      <diagonal/>
    </border>
  </borders>
  <cellXfs count="4">
    <xf numFmtId="0" fontId="0" fillId="0" borderId="0"/>
    <xf numFmtId="0" fontId="1" fillId="2" borderId="0"/>
    <xf numFmtId="0" fontId="2" fillId="3" borderId="0"/>
    <xf numFmtId="0" fontId="0" fillId="3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5" customWidth="1"/>
  </cols>
  <sheetData>
    <row r="1">
      <c r="A1" s="1" t="inlineStr">
        <is>
          <t>Prediction Rules &amp; Formulas</t>
        </is>
      </c>
    </row>
    <row r="2">
      <c r="A2" s="2" t="inlineStr">
        <is>
          <t>Purpose</t>
        </is>
      </c>
      <c r="B2" s="0" t="inlineStr">
        <is>
          <t>Documents the current prototype rule-based prediction logic used by the ZESA Wind Turbine Monitoring System.</t>
        </is>
      </c>
    </row>
    <row r="3">
      <c r="A3" s="2" t="inlineStr">
        <is>
          <t>Model</t>
        </is>
      </c>
      <c r="B3" s="0" t="inlineStr">
        <is>
          <t>seasonal-baseline-0.1 — fixed seasonal formula; it is not a trained machine-learning or AI model.</t>
        </is>
      </c>
    </row>
    <row r="4">
      <c r="A4" s="2" t="inlineStr">
        <is>
          <t>Source files</t>
        </is>
      </c>
      <c r="B4" s="0" t="inlineStr">
        <is>
          <t>backend/app/main.py and frontend/src/prediction-workspace.ts</t>
        </is>
      </c>
    </row>
    <row r="5">
      <c r="A5" s="2" t="inlineStr">
        <is>
          <t>Forecast limit</t>
        </is>
      </c>
      <c r="B5" s="0" t="inlineStr">
        <is>
          <t>The API returns a maximum of 180 days.</t>
        </is>
      </c>
    </row>
    <row r="6">
      <c r="A6" s="2" t="inlineStr">
        <is>
          <t>Validation</t>
        </is>
      </c>
      <c r="B6" s="0" t="inlineStr">
        <is>
          <t>Displayed back-test MAE is 1.42 m/s. This value is configured in code, not calculated during each request.</t>
        </is>
      </c>
    </row>
    <row r="7">
      <c r="A7" s="2" t="inlineStr">
        <is>
          <t>Important</t>
        </is>
      </c>
      <c r="B7" s="0" t="inlineStr">
        <is>
          <t>Risk, health, RUL, availability and revenue are deterministic business rules. Validate against SCADA and field evidence before operational decisions.</t>
        </is>
      </c>
    </row>
    <row r="8">
      <c r="A8" s="2" t="inlineStr">
        <is>
          <t>Workbook guide</t>
        </is>
      </c>
      <c r="B8" s="0" t="inlineStr">
        <is>
          <t>Rule Catalogue lists each formula. Worked Example contains editable input cells and Excel calculations that mirror the key rules.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0" customWidth="1"/>
    <col min="2" max="2" width="26" customWidth="1"/>
    <col min="3" max="3" width="88" customWidth="1"/>
    <col min="4" max="4" width="45" customWidth="1"/>
    <col min="5" max="5" width="24" customWidth="1"/>
    <col min="6" max="6" width="56" customWidth="1"/>
  </cols>
  <sheetData>
    <row r="1">
      <c r="A1" s="1" t="inlineStr">
        <is>
          <t>Rule Catalogue</t>
        </is>
      </c>
    </row>
    <row r="2">
      <c r="A2" s="2" t="inlineStr">
        <is>
          <t>Area</t>
        </is>
      </c>
      <c r="B2" s="2" t="inlineStr">
        <is>
          <t>Output</t>
        </is>
      </c>
      <c r="C2" s="2" t="inlineStr">
        <is>
          <t>Formula / Rule</t>
        </is>
      </c>
      <c r="D2" s="2" t="inlineStr">
        <is>
          <t>Inputs</t>
        </is>
      </c>
      <c r="E2" s="2" t="inlineStr">
        <is>
          <t>Type</t>
        </is>
      </c>
      <c r="F2" s="2" t="inlineStr">
        <is>
          <t>Notes</t>
        </is>
      </c>
    </row>
    <row r="3">
      <c r="A3" s="0" t="inlineStr">
        <is>
          <t>Backend forecast</t>
        </is>
      </c>
      <c r="B3" s="0" t="inlineStr">
        <is>
          <t>Seasonal wind speed</t>
        </is>
      </c>
      <c r="C3" s="0" t="inlineStr">
        <is>
          <t>7.5 + 1.7 × SIN(day / 30 × 6.28)</t>
        </is>
      </c>
      <c r="D3" s="0" t="inlineStr">
        <is>
          <t>Forecast day index (0–179)</t>
        </is>
      </c>
      <c r="E3" s="0" t="inlineStr">
        <is>
          <t>Calculated forecast</t>
        </is>
      </c>
      <c r="F3" s="0" t="inlineStr">
        <is>
          <t>Fixed 30-day sinusoidal seasonal cycle.</t>
        </is>
      </c>
    </row>
    <row r="4">
      <c r="A4" s="0" t="inlineStr">
        <is>
          <t>Backend forecast</t>
        </is>
      </c>
      <c r="B4" s="0" t="inlineStr">
        <is>
          <t>Baseline power output (kW)</t>
        </is>
      </c>
      <c r="C4" s="0" t="inlineStr">
        <is>
          <t>2100 × ((wind_speed − 2.5) / 10)^1.8</t>
        </is>
      </c>
      <c r="D4" s="0" t="inlineStr">
        <is>
          <t>Seasonal wind speed</t>
        </is>
      </c>
      <c r="E4" s="0" t="inlineStr">
        <is>
          <t>Calculated forecast</t>
        </is>
      </c>
      <c r="F4" s="0" t="inlineStr">
        <is>
          <t>Simplified power curve; no explicit cut-in/cut-out guard beyond the generated baseline range.</t>
        </is>
      </c>
    </row>
    <row r="5">
      <c r="A5" s="0" t="inlineStr">
        <is>
          <t>Backend forecast</t>
        </is>
      </c>
      <c r="B5" s="0" t="inlineStr">
        <is>
          <t>Lower wind bound</t>
        </is>
      </c>
      <c r="C5" s="0" t="inlineStr">
        <is>
          <t>wind_speed − 1.6</t>
        </is>
      </c>
      <c r="D5" s="0" t="inlineStr">
        <is>
          <t>Seasonal wind speed</t>
        </is>
      </c>
      <c r="E5" s="0" t="inlineStr">
        <is>
          <t>Calculated forecast</t>
        </is>
      </c>
      <c r="F5" s="0" t="inlineStr">
        <is>
          <t>Fixed uncertainty band.</t>
        </is>
      </c>
    </row>
    <row r="6">
      <c r="A6" s="0" t="inlineStr">
        <is>
          <t>Backend forecast</t>
        </is>
      </c>
      <c r="B6" s="0" t="inlineStr">
        <is>
          <t>Upper wind bound</t>
        </is>
      </c>
      <c r="C6" s="0" t="inlineStr">
        <is>
          <t>wind_speed + 1.6</t>
        </is>
      </c>
      <c r="D6" s="0" t="inlineStr">
        <is>
          <t>Seasonal wind speed</t>
        </is>
      </c>
      <c r="E6" s="0" t="inlineStr">
        <is>
          <t>Calculated forecast</t>
        </is>
      </c>
      <c r="F6" s="0" t="inlineStr">
        <is>
          <t>Fixed uncertainty band.</t>
        </is>
      </c>
    </row>
    <row r="7">
      <c r="A7" s="0" t="inlineStr">
        <is>
          <t>Asset scope</t>
        </is>
      </c>
      <c r="B7" s="0" t="inlineStr">
        <is>
          <t>Capacity share</t>
        </is>
      </c>
      <c r="C7" s="0" t="inlineStr">
        <is>
          <t>asset_capacity_kw / fleet_capacity_kw</t>
        </is>
      </c>
      <c r="D7" s="0" t="inlineStr">
        <is>
          <t>Selected asset capacity; fleet total capacity</t>
        </is>
      </c>
      <c r="E7" s="0" t="inlineStr">
        <is>
          <t>Calculated adjustment</t>
        </is>
      </c>
      <c r="F7" s="0" t="inlineStr">
        <is>
          <t>Applied only when an individual turbine is selected.</t>
        </is>
      </c>
    </row>
    <row r="8">
      <c r="A8" s="0" t="inlineStr">
        <is>
          <t>Asset scope</t>
        </is>
      </c>
      <c r="B8" s="0" t="inlineStr">
        <is>
          <t>Operating factor</t>
        </is>
      </c>
      <c r="C8" s="0" t="inlineStr">
        <is>
          <t>(0.84 + (asset_id MOD 5) × 0.035) × IF(status = maintenance, 0.72, 1)</t>
        </is>
      </c>
      <c r="D8" s="0" t="inlineStr">
        <is>
          <t>Asset ID; status</t>
        </is>
      </c>
      <c r="E8" s="0" t="inlineStr">
        <is>
          <t>Rule-based adjustment</t>
        </is>
      </c>
      <c r="F8" s="0" t="inlineStr">
        <is>
          <t>Creates deterministic per-turbine variation.</t>
        </is>
      </c>
    </row>
    <row r="9">
      <c r="A9" s="0" t="inlineStr">
        <is>
          <t>Asset scope</t>
        </is>
      </c>
      <c r="B9" s="0" t="inlineStr">
        <is>
          <t>Wind bias</t>
        </is>
      </c>
      <c r="C9" s="0" t="inlineStr">
        <is>
          <t>((asset_id MOD 5) − 2) × 0.18</t>
        </is>
      </c>
      <c r="D9" s="0" t="inlineStr">
        <is>
          <t>Asset ID</t>
        </is>
      </c>
      <c r="E9" s="0" t="inlineStr">
        <is>
          <t>Rule-based adjustment</t>
        </is>
      </c>
      <c r="F9" s="0" t="inlineStr">
        <is>
          <t>A fixed turbine-specific wind offset.</t>
        </is>
      </c>
    </row>
    <row r="10">
      <c r="A10" s="0" t="inlineStr">
        <is>
          <t>Asset scope</t>
        </is>
      </c>
      <c r="B10" s="0" t="inlineStr">
        <is>
          <t>Adjusted wind</t>
        </is>
      </c>
      <c r="C10" s="0" t="inlineStr">
        <is>
          <t>MAX(2.5, baseline_wind + wind_bias + SIN(row_index / 8 + asset_id) × 0.22)</t>
        </is>
      </c>
      <c r="D10" s="0" t="inlineStr">
        <is>
          <t>Baseline wind; asset ID; forecast row index</t>
        </is>
      </c>
      <c r="E10" s="0" t="inlineStr">
        <is>
          <t>Calculated adjustment</t>
        </is>
      </c>
      <c r="F10" s="0" t="inlineStr">
        <is>
          <t>Minimum displayed wind is 2.5 m/s.</t>
        </is>
      </c>
    </row>
    <row r="11">
      <c r="A11" s="0" t="inlineStr">
        <is>
          <t>Asset scope</t>
        </is>
      </c>
      <c r="B11" s="0" t="inlineStr">
        <is>
          <t>Adjusted power</t>
        </is>
      </c>
      <c r="C11" s="0" t="inlineStr">
        <is>
          <t>baseline_power × capacity_share × operating_factor × (adjusted_wind / MAX(baseline_wind, 0.1))^1.5</t>
        </is>
      </c>
      <c r="D11" s="0" t="inlineStr">
        <is>
          <t>Baseline power/wind; adjusted wind; capacity share; operating factor</t>
        </is>
      </c>
      <c r="E11" s="0" t="inlineStr">
        <is>
          <t>Calculated adjustment</t>
        </is>
      </c>
      <c r="F11" s="0" t="inlineStr">
        <is>
          <t>Produces the selected-turbine energy series.</t>
        </is>
      </c>
    </row>
    <row r="12">
      <c r="A12" s="0" t="inlineStr">
        <is>
          <t>Asset scope</t>
        </is>
      </c>
      <c r="B12" s="0" t="inlineStr">
        <is>
          <t>Adjusted lower bound</t>
        </is>
      </c>
      <c r="C12" s="0" t="inlineStr">
        <is>
          <t>MAX(0, baseline_lower + wind_bias)</t>
        </is>
      </c>
      <c r="D12" s="0" t="inlineStr">
        <is>
          <t>Baseline lower bound; wind bias</t>
        </is>
      </c>
      <c r="E12" s="0" t="inlineStr">
        <is>
          <t>Calculated adjustment</t>
        </is>
      </c>
      <c r="F12" s="0" t="inlineStr">
        <is>
          <t>Cannot be negative.</t>
        </is>
      </c>
    </row>
    <row r="13">
      <c r="A13" s="0" t="inlineStr">
        <is>
          <t>Asset scope</t>
        </is>
      </c>
      <c r="B13" s="0" t="inlineStr">
        <is>
          <t>Adjusted upper bound</t>
        </is>
      </c>
      <c r="C13" s="0" t="inlineStr">
        <is>
          <t>baseline_upper + wind_bias</t>
        </is>
      </c>
      <c r="D13" s="0" t="inlineStr">
        <is>
          <t>Baseline upper bound; wind bias</t>
        </is>
      </c>
      <c r="E13" s="0" t="inlineStr">
        <is>
          <t>Calculated adjustment</t>
        </is>
      </c>
      <c r="F13" s="0" t="inlineStr">
        <is>
          <t>No upper cap.</t>
        </is>
      </c>
    </row>
    <row r="14">
      <c r="A14" s="0" t="inlineStr">
        <is>
          <t>Condition rules</t>
        </is>
      </c>
      <c r="B14" s="0" t="inlineStr">
        <is>
          <t>Failure risk (%)</t>
        </is>
      </c>
      <c r="C14" s="0" t="inlineStr">
        <is>
          <t>CLAMP(18 + ((asset_id × 13) MOD 57) + IF(status = maintenance, 16, 0) + ROUND((6.4 − average_wind) × 4), 0, 100)</t>
        </is>
      </c>
      <c r="D14" s="0" t="inlineStr">
        <is>
          <t>Asset ID; status; forecast-window average wind</t>
        </is>
      </c>
      <c r="E14" s="0" t="inlineStr">
        <is>
          <t>Rule-based estimate</t>
        </is>
      </c>
      <c r="F14" s="0" t="inlineStr">
        <is>
          <t>Not a trained failure-probability model.</t>
        </is>
      </c>
    </row>
    <row r="15">
      <c r="A15" s="0" t="inlineStr">
        <is>
          <t>Condition rules</t>
        </is>
      </c>
      <c r="B15" s="0" t="inlineStr">
        <is>
          <t>Health score</t>
        </is>
      </c>
      <c r="C15" s="0" t="inlineStr">
        <is>
          <t>CLAMP(108 − failure_risk, 0, 100)</t>
        </is>
      </c>
      <c r="D15" s="0" t="inlineStr">
        <is>
          <t>Failure risk</t>
        </is>
      </c>
      <c r="E15" s="0" t="inlineStr">
        <is>
          <t>Rule-based estimate</t>
        </is>
      </c>
      <c r="F15" s="0" t="inlineStr">
        <is>
          <t>Inverse mapping from rule-based risk.</t>
        </is>
      </c>
    </row>
    <row r="16">
      <c r="A16" s="0" t="inlineStr">
        <is>
          <t>Condition rules</t>
        </is>
      </c>
      <c r="B16" s="0" t="inlineStr">
        <is>
          <t>Remaining useful life</t>
        </is>
      </c>
      <c r="C16" s="0" t="inlineStr">
        <is>
          <t>MAX(21, 230 − failure_risk × 2)</t>
        </is>
      </c>
      <c r="D16" s="0" t="inlineStr">
        <is>
          <t>Failure risk</t>
        </is>
      </c>
      <c r="E16" s="0" t="inlineStr">
        <is>
          <t>Rule-based estimate</t>
        </is>
      </c>
      <c r="F16" s="0" t="inlineStr">
        <is>
          <t>Days; minimum is 21.</t>
        </is>
      </c>
    </row>
    <row r="17">
      <c r="A17" s="0" t="inlineStr">
        <is>
          <t>Availability</t>
        </is>
      </c>
      <c r="B17" s="0" t="inlineStr">
        <is>
          <t>Forecast availability (%)</t>
        </is>
      </c>
      <c r="C17" s="0" t="inlineStr">
        <is>
          <t>CLAMP((IF(asset selected, 99.2 − (100 − health) × 0.13, 97.2) − (6.5 − average_wind) × 0.7 − horizon_days / 720), 0, 100)</t>
        </is>
      </c>
      <c r="D17" s="0" t="inlineStr">
        <is>
          <t>Asset selection; health; average wind; horizon</t>
        </is>
      </c>
      <c r="E17" s="0" t="inlineStr">
        <is>
          <t>Rule-based estimate</t>
        </is>
      </c>
      <c r="F17" s="0" t="inlineStr">
        <is>
          <t>Fleet uses 97.2 as its starting value.</t>
        </is>
      </c>
    </row>
    <row r="18">
      <c r="A18" s="0" t="inlineStr">
        <is>
          <t>Commercial</t>
        </is>
      </c>
      <c r="B18" s="0" t="inlineStr">
        <is>
          <t>Forecast revenue</t>
        </is>
      </c>
      <c r="C18" s="0" t="inlineStr">
        <is>
          <t>forecast_energy_mwh × 82</t>
        </is>
      </c>
      <c r="D18" s="0" t="inlineStr">
        <is>
          <t>Forecast energy</t>
        </is>
      </c>
      <c r="E18" s="0" t="inlineStr">
        <is>
          <t>Calculated estimate</t>
        </is>
      </c>
      <c r="F18" s="0" t="inlineStr">
        <is>
          <t>Fixed tariff assumption: USD 82/MWh.</t>
        </is>
      </c>
    </row>
    <row r="19">
      <c r="A19" s="0" t="inlineStr">
        <is>
          <t>Commercial</t>
        </is>
      </c>
      <c r="B19" s="0" t="inlineStr">
        <is>
          <t>Revenue at risk</t>
        </is>
      </c>
      <c r="C19" s="0" t="inlineStr">
        <is>
          <t>forecast_revenue × 0.14</t>
        </is>
      </c>
      <c r="D19" s="0" t="inlineStr">
        <is>
          <t>Forecast revenue</t>
        </is>
      </c>
      <c r="E19" s="0" t="inlineStr">
        <is>
          <t>Calculated estimate</t>
        </is>
      </c>
      <c r="F19" s="0" t="inlineStr">
        <is>
          <t>Used in the revenue detail card.</t>
        </is>
      </c>
    </row>
    <row r="20">
      <c r="A20" s="0" t="inlineStr">
        <is>
          <t>Display</t>
        </is>
      </c>
      <c r="B20" s="0" t="inlineStr">
        <is>
          <t>Confidence (%)</t>
        </is>
      </c>
      <c r="C20" s="0" t="inlineStr">
        <is>
          <t>MAX(52, 68 − ROUND(horizon_days / 36))</t>
        </is>
      </c>
      <c r="D20" s="0" t="inlineStr">
        <is>
          <t>Forecast horizon</t>
        </is>
      </c>
      <c r="E20" s="0" t="inlineStr">
        <is>
          <t>Rule-based display</t>
        </is>
      </c>
      <c r="F20" s="0" t="inlineStr">
        <is>
          <t>A planning-confidence indicator, not statistical confidence.</t>
        </is>
      </c>
    </row>
    <row r="21">
      <c r="A21" s="0" t="inlineStr">
        <is>
          <t>Display</t>
        </is>
      </c>
      <c r="B21" s="0" t="inlineStr">
        <is>
          <t>High-risk count</t>
        </is>
      </c>
      <c r="C21" s="0" t="inlineStr">
        <is>
          <t>COUNT(asset_failure_risk ≥ 55)</t>
        </is>
      </c>
      <c r="D21" s="0" t="inlineStr">
        <is>
          <t>Rule-based risk across scoped assets</t>
        </is>
      </c>
      <c r="E21" s="0" t="inlineStr">
        <is>
          <t>Calculated count</t>
        </is>
      </c>
      <c r="F21" s="0" t="inlineStr">
        <is>
          <t>Shown in the risk KPI.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9" customWidth="1"/>
    <col min="2" max="2" width="36" customWidth="1"/>
    <col min="3" max="3" width="62" customWidth="1"/>
  </cols>
  <sheetData>
    <row r="1">
      <c r="A1" s="1" t="inlineStr">
        <is>
          <t>Worked Example — Edit blue input cells</t>
        </is>
      </c>
    </row>
    <row r="2">
      <c r="A2" s="2" t="inlineStr">
        <is>
          <t>Input / calculation</t>
        </is>
      </c>
      <c r="B2" s="2" t="inlineStr">
        <is>
          <t>Value</t>
        </is>
      </c>
      <c r="C2" s="2" t="inlineStr">
        <is>
          <t>Unit / explanation</t>
        </is>
      </c>
    </row>
    <row r="3">
      <c r="A3" s="2" t="inlineStr">
        <is>
          <t>Forecast day index</t>
        </is>
      </c>
      <c r="B3" s="0">
        <v>12</v>
      </c>
      <c r="C3" s="0" t="inlineStr">
        <is>
          <t>Input: 0–179</t>
        </is>
      </c>
    </row>
    <row r="4">
      <c r="A4" s="2" t="inlineStr">
        <is>
          <t>Asset ID</t>
        </is>
      </c>
      <c r="B4" s="0">
        <v>7</v>
      </c>
      <c r="C4" s="0" t="inlineStr">
        <is>
          <t>Input</t>
        </is>
      </c>
    </row>
    <row r="5">
      <c r="A5" s="2" t="inlineStr">
        <is>
          <t>Asset capacity</t>
        </is>
      </c>
      <c r="B5" s="0">
        <v>3000</v>
      </c>
      <c r="C5" s="0" t="inlineStr">
        <is>
          <t>kW — input</t>
        </is>
      </c>
    </row>
    <row r="6">
      <c r="A6" s="2" t="inlineStr">
        <is>
          <t>Fleet capacity</t>
        </is>
      </c>
      <c r="B6" s="0">
        <v>36000</v>
      </c>
      <c r="C6" s="0" t="inlineStr">
        <is>
          <t>kW — input</t>
        </is>
      </c>
    </row>
    <row r="7">
      <c r="A7" s="2" t="inlineStr">
        <is>
          <t>Asset status</t>
        </is>
      </c>
      <c r="B7" s="0" t="inlineStr">
        <is>
          <t>operational</t>
        </is>
      </c>
      <c r="C7" s="0" t="inlineStr">
        <is>
          <t>Use operational or maintenance</t>
        </is>
      </c>
    </row>
    <row r="8">
      <c r="A8" s="2" t="inlineStr">
        <is>
          <t>Forecast horizon</t>
        </is>
      </c>
      <c r="B8" s="0">
        <v>90</v>
      </c>
      <c r="C8" s="0" t="inlineStr">
        <is>
          <t>days — input</t>
        </is>
      </c>
    </row>
    <row r="9">
      <c r="A9" s="2" t="inlineStr">
        <is>
          <t>Baseline wind speed</t>
        </is>
      </c>
      <c r="B9" s="3">
        <f>7.5+1.7*SIN(B3/30*6.28)</f>
      </c>
      <c r="C9" s="0" t="inlineStr">
        <is>
          <t>m/s</t>
        </is>
      </c>
    </row>
    <row r="10">
      <c r="A10" s="2" t="inlineStr">
        <is>
          <t>Baseline power</t>
        </is>
      </c>
      <c r="B10" s="3">
        <f>2100*((B9-2.5)/10)^1.8</f>
      </c>
      <c r="C10" s="0" t="inlineStr">
        <is>
          <t>kW</t>
        </is>
      </c>
    </row>
    <row r="11">
      <c r="A11" s="2" t="inlineStr">
        <is>
          <t>Lower wind bound</t>
        </is>
      </c>
      <c r="B11" s="3">
        <f>B9-1.6</f>
      </c>
      <c r="C11" s="0" t="inlineStr">
        <is>
          <t>m/s</t>
        </is>
      </c>
    </row>
    <row r="12">
      <c r="A12" s="2" t="inlineStr">
        <is>
          <t>Upper wind bound</t>
        </is>
      </c>
      <c r="B12" s="3">
        <f>B9+1.6</f>
      </c>
      <c r="C12" s="0" t="inlineStr">
        <is>
          <t>m/s</t>
        </is>
      </c>
    </row>
    <row r="13">
      <c r="A13" s="2" t="inlineStr">
        <is>
          <t>Capacity share</t>
        </is>
      </c>
      <c r="B13" s="3">
        <f>B5/B6</f>
      </c>
      <c r="C13" s="0" t="inlineStr">
        <is>
          <t>asset capacity / fleet capacity</t>
        </is>
      </c>
    </row>
    <row r="14">
      <c r="A14" s="2" t="inlineStr">
        <is>
          <t>Operating factor</t>
        </is>
      </c>
      <c r="B14" s="3">
        <f>(0.84+MOD(B4,5)*0.035)*IF(B7="maintenance",0.72,1)</f>
      </c>
      <c r="C14" s="0" t="inlineStr">
        <is>
          <t>deterministic asset factor</t>
        </is>
      </c>
    </row>
    <row r="15">
      <c r="A15" s="2" t="inlineStr">
        <is>
          <t>Wind bias</t>
        </is>
      </c>
      <c r="B15" s="3">
        <f>(MOD(B4,5)-2)*0.18</f>
      </c>
      <c r="C15" s="0" t="inlineStr">
        <is>
          <t>m/s</t>
        </is>
      </c>
    </row>
    <row r="16">
      <c r="A16" s="2" t="inlineStr">
        <is>
          <t>Adjusted wind</t>
        </is>
      </c>
      <c r="B16" s="3">
        <f>MAX(2.5,B9+B15+SIN(B3/8+B4)*0.22)</f>
      </c>
      <c r="C16" s="0" t="inlineStr">
        <is>
          <t>m/s</t>
        </is>
      </c>
    </row>
    <row r="17">
      <c r="A17" s="2" t="inlineStr">
        <is>
          <t>Adjusted power</t>
        </is>
      </c>
      <c r="B17" s="3">
        <f>B10*B13*B14*(B16/MAX(B9,0.1))^1.5</f>
      </c>
      <c r="C17" s="0" t="inlineStr">
        <is>
          <t>kW</t>
        </is>
      </c>
    </row>
    <row r="18">
      <c r="A18" s="2" t="inlineStr">
        <is>
          <t>Average wind (window)</t>
        </is>
      </c>
      <c r="B18" s="3">
        <f>B16</f>
      </c>
      <c r="C18" s="0" t="inlineStr">
        <is>
          <t>Use the average forecast-window wind in production</t>
        </is>
      </c>
    </row>
    <row r="19">
      <c r="A19" s="2" t="inlineStr">
        <is>
          <t>Failure risk</t>
        </is>
      </c>
      <c r="B19" s="3">
        <f>MAX(0,MIN(100,18+MOD(B4*13,57)+IF(B7="maintenance",16,0)+ROUND((6.4-B18)*4,0)))</f>
      </c>
      <c r="C19" s="0" t="inlineStr">
        <is>
          <t>%</t>
        </is>
      </c>
    </row>
    <row r="20">
      <c r="A20" s="2" t="inlineStr">
        <is>
          <t>Health score</t>
        </is>
      </c>
      <c r="B20" s="3">
        <f>MAX(0,MIN(100,108-B19))</f>
      </c>
      <c r="C20" s="0" t="inlineStr">
        <is>
          <t>/100</t>
        </is>
      </c>
    </row>
    <row r="21">
      <c r="A21" s="2" t="inlineStr">
        <is>
          <t>Remaining useful life</t>
        </is>
      </c>
      <c r="B21" s="3">
        <f>MAX(21,230-B19*2)</f>
      </c>
      <c r="C21" s="0" t="inlineStr">
        <is>
          <t>days</t>
        </is>
      </c>
    </row>
    <row r="22">
      <c r="A22" s="2" t="inlineStr">
        <is>
          <t>Forecast availability</t>
        </is>
      </c>
      <c r="B22" s="3">
        <f>MAX(0,MIN(100,(99.2-(100-B20)*0.13)-(6.5-B18)*0.7-B8/720))</f>
      </c>
      <c r="C22" s="0" t="inlineStr">
        <is>
          <t>% — selected turbine case</t>
        </is>
      </c>
    </row>
    <row r="23">
      <c r="A23" s="2" t="inlineStr">
        <is>
          <t>Forecast energy example</t>
        </is>
      </c>
      <c r="B23" s="3">
        <f>B17*B8*24/1000</f>
      </c>
      <c r="C23" s="0" t="inlineStr">
        <is>
          <t>MWh — illustrative conversion from kW over the selected horizon</t>
        </is>
      </c>
    </row>
    <row r="24">
      <c r="A24" s="2" t="inlineStr">
        <is>
          <t>Forecast revenue</t>
        </is>
      </c>
      <c r="B24" s="3">
        <f>B23*82</f>
      </c>
      <c r="C24" s="0" t="inlineStr">
        <is>
          <t>USD at fixed USD 82/MWh tariff</t>
        </is>
      </c>
    </row>
    <row r="25">
      <c r="A25" s="2" t="inlineStr">
        <is>
          <t>Planning confidence</t>
        </is>
      </c>
      <c r="B25" s="3">
        <f>MAX(52,68-ROUND(B8/36,0))</f>
      </c>
      <c r="C25" s="0" t="inlineStr">
        <is>
          <t>% — display rule, not statistical confidence</t>
        </is>
      </c>
    </row>
  </sheetData>
</worksheet>
</file>